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0bd6baeb06772c/Desktop/Lab solo/"/>
    </mc:Choice>
  </mc:AlternateContent>
  <xr:revisionPtr revIDLastSave="226" documentId="8_{F609066C-0B35-4555-BCCB-7BC898B694E3}" xr6:coauthVersionLast="47" xr6:coauthVersionMax="47" xr10:uidLastSave="{64DCF403-A7A5-4B34-87A5-28EB170234FE}"/>
  <bookViews>
    <workbookView xWindow="-110" yWindow="-110" windowWidth="19420" windowHeight="11500" activeTab="1" xr2:uid="{2A2BBCF5-82BF-4F91-B3F7-263FEA659CE6}"/>
  </bookViews>
  <sheets>
    <sheet name="anova" sheetId="2" r:id="rId1"/>
    <sheet name="graphs" sheetId="3" r:id="rId2"/>
    <sheet name="result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" i="3" l="1"/>
  <c r="B36" i="3"/>
  <c r="D3" i="3"/>
  <c r="D2" i="3"/>
  <c r="B20" i="2"/>
  <c r="B19" i="2"/>
  <c r="B23" i="2"/>
  <c r="D12" i="2"/>
  <c r="B17" i="2" s="1"/>
  <c r="B24" i="2" s="1"/>
  <c r="B25" i="2" s="1"/>
  <c r="B26" i="2" s="1"/>
  <c r="C12" i="2"/>
  <c r="B12" i="2"/>
</calcChain>
</file>

<file path=xl/sharedStrings.xml><?xml version="1.0" encoding="utf-8"?>
<sst xmlns="http://schemas.openxmlformats.org/spreadsheetml/2006/main" count="86" uniqueCount="47">
  <si>
    <t>Participant -1</t>
  </si>
  <si>
    <t>mean rt - easy</t>
  </si>
  <si>
    <t>mean rt - hard</t>
  </si>
  <si>
    <t>difference</t>
  </si>
  <si>
    <t>Participant -2</t>
  </si>
  <si>
    <t>mean rt easy</t>
  </si>
  <si>
    <t>mean  rt hard</t>
  </si>
  <si>
    <t>diffrence</t>
  </si>
  <si>
    <t>participant 3</t>
  </si>
  <si>
    <t>participant 4</t>
  </si>
  <si>
    <t>participant 5</t>
  </si>
  <si>
    <t>participant 6</t>
  </si>
  <si>
    <t>participant 7</t>
  </si>
  <si>
    <t>mean rt hard</t>
  </si>
  <si>
    <t>participant 8</t>
  </si>
  <si>
    <t>participant 9</t>
  </si>
  <si>
    <t>participant 10</t>
  </si>
  <si>
    <t>Participant</t>
  </si>
  <si>
    <t>RT_easy</t>
  </si>
  <si>
    <t>RT_hard</t>
  </si>
  <si>
    <t>Difference</t>
  </si>
  <si>
    <t>P1</t>
  </si>
  <si>
    <t>P2</t>
  </si>
  <si>
    <t>P3</t>
  </si>
  <si>
    <t>P4</t>
  </si>
  <si>
    <t>P5</t>
  </si>
  <si>
    <t>P6</t>
  </si>
  <si>
    <t>P7</t>
  </si>
  <si>
    <t>P8</t>
  </si>
  <si>
    <t>P10</t>
  </si>
  <si>
    <t>P9</t>
  </si>
  <si>
    <t>MEAN</t>
  </si>
  <si>
    <t>mean difference</t>
  </si>
  <si>
    <t>standard deviation</t>
  </si>
  <si>
    <t>sample size</t>
  </si>
  <si>
    <t>P value</t>
  </si>
  <si>
    <t>t value</t>
  </si>
  <si>
    <t>f value</t>
  </si>
  <si>
    <t>n^2  value</t>
  </si>
  <si>
    <t xml:space="preserve">sd easy </t>
  </si>
  <si>
    <t>sd hard</t>
  </si>
  <si>
    <t>condition</t>
  </si>
  <si>
    <t>easy</t>
  </si>
  <si>
    <t>hard</t>
  </si>
  <si>
    <t>mean rt</t>
  </si>
  <si>
    <t>sd</t>
  </si>
  <si>
    <t>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</si>
</sst>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reaction</a:t>
            </a:r>
            <a:r>
              <a:rPr lang="en-US" baseline="0"/>
              <a:t> time for easy and hard problems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graphs!$B$1</c:f>
              <c:strCache>
                <c:ptCount val="1"/>
                <c:pt idx="0">
                  <c:v>mean 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graphs!$D$2:$D$3</c:f>
                <c:numCache>
                  <c:formatCode>General</c:formatCode>
                  <c:ptCount val="2"/>
                  <c:pt idx="0">
                    <c:v>0.10840510762099165</c:v>
                  </c:pt>
                  <c:pt idx="1">
                    <c:v>0.52141003401861885</c:v>
                  </c:pt>
                </c:numCache>
              </c:numRef>
            </c:plus>
            <c:minus>
              <c:numRef>
                <c:f>graphs!$D$2:$D$3</c:f>
                <c:numCache>
                  <c:formatCode>General</c:formatCode>
                  <c:ptCount val="2"/>
                  <c:pt idx="0">
                    <c:v>0.10840510762099165</c:v>
                  </c:pt>
                  <c:pt idx="1">
                    <c:v>0.52141003401861885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graphs!$A$2:$A$3</c:f>
              <c:strCache>
                <c:ptCount val="2"/>
                <c:pt idx="0">
                  <c:v>easy</c:v>
                </c:pt>
                <c:pt idx="1">
                  <c:v>hard</c:v>
                </c:pt>
              </c:strCache>
            </c:strRef>
          </c:cat>
          <c:val>
            <c:numRef>
              <c:f>graphs!$B$2:$B$3</c:f>
              <c:numCache>
                <c:formatCode>General</c:formatCode>
                <c:ptCount val="2"/>
                <c:pt idx="0">
                  <c:v>2.2342000507954305</c:v>
                </c:pt>
                <c:pt idx="1">
                  <c:v>6.3232823283743143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4-497A-AC41-44E5EFFC7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88192"/>
        <c:axId val="10688672"/>
      </c:barChart>
      <c:catAx>
        <c:axId val="10688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Problem</a:t>
                </a:r>
                <a:r>
                  <a:rPr lang="en-IN" baseline="0"/>
                  <a:t> Complexity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8672"/>
        <c:crosses val="autoZero"/>
        <c:auto val="1"/>
        <c:lblAlgn val="ctr"/>
        <c:lblOffset val="100"/>
        <c:noMultiLvlLbl val="0"/>
      </c:catAx>
      <c:valAx>
        <c:axId val="1068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</a:t>
                </a:r>
                <a:r>
                  <a:rPr lang="en-IN" baseline="0"/>
                  <a:t> time (in seconds)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Individual Reaction Times for Easy and Hard Problems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graphs!$B$25</c:f>
              <c:strCache>
                <c:ptCount val="1"/>
                <c:pt idx="0">
                  <c:v>RT_easy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graphs!$A$26:$A$36</c:f>
              <c:strCache>
                <c:ptCount val="11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  <c:pt idx="10">
                  <c:v>MEAN</c:v>
                </c:pt>
              </c:strCache>
            </c:strRef>
          </c:cat>
          <c:val>
            <c:numRef>
              <c:f>graphs!$B$26:$B$36</c:f>
              <c:numCache>
                <c:formatCode>General</c:formatCode>
                <c:ptCount val="11"/>
                <c:pt idx="0">
                  <c:v>2.449434932</c:v>
                </c:pt>
                <c:pt idx="1">
                  <c:v>1.70821383</c:v>
                </c:pt>
                <c:pt idx="2">
                  <c:v>2.5846172630000002</c:v>
                </c:pt>
                <c:pt idx="3">
                  <c:v>2.3087132650194655</c:v>
                </c:pt>
                <c:pt idx="4">
                  <c:v>1.7875232149730398</c:v>
                </c:pt>
                <c:pt idx="5">
                  <c:v>1.813928389</c:v>
                </c:pt>
                <c:pt idx="6">
                  <c:v>2.4703166789718325</c:v>
                </c:pt>
                <c:pt idx="7">
                  <c:v>2.268616495002056</c:v>
                </c:pt>
                <c:pt idx="8">
                  <c:v>2.3065608499999999</c:v>
                </c:pt>
                <c:pt idx="9">
                  <c:v>2.6440755899879096</c:v>
                </c:pt>
                <c:pt idx="10">
                  <c:v>2.2342000507954305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55-4875-AD97-0A74876ED0EC}"/>
            </c:ext>
          </c:extLst>
        </c:ser>
        <c:ser>
          <c:idx val="1"/>
          <c:order val="1"/>
          <c:tx>
            <c:strRef>
              <c:f>graphs!$C$25</c:f>
              <c:strCache>
                <c:ptCount val="1"/>
                <c:pt idx="0">
                  <c:v>RT_hard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graphs!$A$26:$A$36</c:f>
              <c:strCache>
                <c:ptCount val="11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  <c:pt idx="10">
                  <c:v>MEAN</c:v>
                </c:pt>
              </c:strCache>
            </c:strRef>
          </c:cat>
          <c:val>
            <c:numRef>
              <c:f>graphs!$C$26:$C$36</c:f>
              <c:numCache>
                <c:formatCode>General</c:formatCode>
                <c:ptCount val="11"/>
                <c:pt idx="0">
                  <c:v>7.4518092170000001</c:v>
                </c:pt>
                <c:pt idx="1">
                  <c:v>4.6606468100000003</c:v>
                </c:pt>
                <c:pt idx="2">
                  <c:v>10.28795446</c:v>
                </c:pt>
                <c:pt idx="3">
                  <c:v>5.7845124059000561</c:v>
                </c:pt>
                <c:pt idx="4">
                  <c:v>5.4112703349906859</c:v>
                </c:pt>
                <c:pt idx="5">
                  <c:v>5.9605517389999996</c:v>
                </c:pt>
                <c:pt idx="6">
                  <c:v>6.2499117055752516</c:v>
                </c:pt>
                <c:pt idx="7">
                  <c:v>5.4787039882777346</c:v>
                </c:pt>
                <c:pt idx="8">
                  <c:v>4.8568331130000004</c:v>
                </c:pt>
                <c:pt idx="9">
                  <c:v>7.0906295099994079</c:v>
                </c:pt>
                <c:pt idx="10">
                  <c:v>6.3232823283743143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55-4875-AD97-0A74876ED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978464"/>
        <c:axId val="39978944"/>
      </c:lineChart>
      <c:catAx>
        <c:axId val="39978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78944"/>
        <c:crosses val="autoZero"/>
        <c:auto val="1"/>
        <c:lblAlgn val="ctr"/>
        <c:lblOffset val="100"/>
        <c:noMultiLvlLbl val="0"/>
      </c:catAx>
      <c:valAx>
        <c:axId val="3997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7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4</xdr:row>
      <xdr:rowOff>82550</xdr:rowOff>
    </xdr:from>
    <xdr:to>
      <xdr:col>8</xdr:col>
      <xdr:colOff>219075</xdr:colOff>
      <xdr:row>19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B487BF-86D0-F431-E715-15EA2089F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403225</xdr:colOff>
      <xdr:row>37</xdr:row>
      <xdr:rowOff>57150</xdr:rowOff>
    </xdr:from>
    <xdr:to>
      <xdr:col>8</xdr:col>
      <xdr:colOff>98425</xdr:colOff>
      <xdr:row>52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D18788-8351-1AC3-9BA4-66A8DBE9F6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80139-E089-42AD-B11C-07F3652F897B}">
  <dimension ref="A1:D26"/>
  <sheetViews>
    <sheetView topLeftCell="A16" zoomScale="132" workbookViewId="0">
      <selection activeCell="D14" sqref="D14"/>
    </sheetView>
  </sheetViews>
  <sheetFormatPr defaultRowHeight="14.5" x14ac:dyDescent="0.35"/>
  <cols>
    <col min="1" max="1" width="16.7265625" customWidth="1"/>
    <col min="2" max="2" width="8.7265625" customWidth="1"/>
    <col min="3" max="3" width="10.453125" customWidth="1"/>
  </cols>
  <sheetData>
    <row r="1" spans="1:4" x14ac:dyDescent="0.35">
      <c r="A1" t="s">
        <v>17</v>
      </c>
      <c r="B1" t="s">
        <v>18</v>
      </c>
      <c r="C1" t="s">
        <v>19</v>
      </c>
      <c r="D1" t="s">
        <v>20</v>
      </c>
    </row>
    <row r="2" spans="1:4" x14ac:dyDescent="0.35">
      <c r="A2" t="s">
        <v>21</v>
      </c>
      <c r="B2">
        <v>2.449434932</v>
      </c>
      <c r="C2">
        <v>7.4518092170000001</v>
      </c>
      <c r="D2">
        <v>5.0023742850000001</v>
      </c>
    </row>
    <row r="3" spans="1:4" x14ac:dyDescent="0.35">
      <c r="A3" t="s">
        <v>22</v>
      </c>
      <c r="B3">
        <v>1.70821383</v>
      </c>
      <c r="C3">
        <v>4.6606468100000003</v>
      </c>
      <c r="D3">
        <v>2.9524329800000002</v>
      </c>
    </row>
    <row r="4" spans="1:4" x14ac:dyDescent="0.35">
      <c r="A4" t="s">
        <v>23</v>
      </c>
      <c r="B4">
        <v>2.5846172630000002</v>
      </c>
      <c r="C4">
        <v>10.28795446</v>
      </c>
      <c r="D4">
        <v>7.7033371940000004</v>
      </c>
    </row>
    <row r="5" spans="1:4" x14ac:dyDescent="0.35">
      <c r="A5" t="s">
        <v>24</v>
      </c>
      <c r="B5">
        <v>2.3087132650194655</v>
      </c>
      <c r="C5">
        <v>5.7845124059000561</v>
      </c>
      <c r="D5">
        <v>3.4757991408805906</v>
      </c>
    </row>
    <row r="6" spans="1:4" x14ac:dyDescent="0.35">
      <c r="A6" t="s">
        <v>25</v>
      </c>
      <c r="B6">
        <v>1.7875232149730398</v>
      </c>
      <c r="C6">
        <v>5.4112703349906859</v>
      </c>
      <c r="D6">
        <v>3.6237471200176463</v>
      </c>
    </row>
    <row r="7" spans="1:4" x14ac:dyDescent="0.35">
      <c r="A7" t="s">
        <v>26</v>
      </c>
      <c r="B7">
        <v>1.813928389</v>
      </c>
      <c r="C7">
        <v>5.9605517389999996</v>
      </c>
      <c r="D7">
        <v>4.1466233499999996</v>
      </c>
    </row>
    <row r="8" spans="1:4" x14ac:dyDescent="0.35">
      <c r="A8" t="s">
        <v>27</v>
      </c>
      <c r="B8">
        <v>2.4703166789718325</v>
      </c>
      <c r="C8">
        <v>6.2499117055752516</v>
      </c>
      <c r="D8">
        <v>3.7795950266034191</v>
      </c>
    </row>
    <row r="9" spans="1:4" x14ac:dyDescent="0.35">
      <c r="A9" t="s">
        <v>28</v>
      </c>
      <c r="B9">
        <v>2.268616495002056</v>
      </c>
      <c r="C9">
        <v>5.4787039882777346</v>
      </c>
      <c r="D9">
        <v>3.2100874932756787</v>
      </c>
    </row>
    <row r="10" spans="1:4" x14ac:dyDescent="0.35">
      <c r="A10" t="s">
        <v>30</v>
      </c>
      <c r="B10">
        <v>2.3065608499999999</v>
      </c>
      <c r="C10">
        <v>4.8568331130000004</v>
      </c>
      <c r="D10">
        <v>2.5502722630000001</v>
      </c>
    </row>
    <row r="11" spans="1:4" x14ac:dyDescent="0.35">
      <c r="A11" t="s">
        <v>29</v>
      </c>
      <c r="B11">
        <v>2.6440755899879096</v>
      </c>
      <c r="C11">
        <v>7.0906295099994079</v>
      </c>
      <c r="D11">
        <v>4.4465539200114979</v>
      </c>
    </row>
    <row r="12" spans="1:4" x14ac:dyDescent="0.35">
      <c r="A12" t="s">
        <v>31</v>
      </c>
      <c r="B12">
        <f>AVERAGE(B2:B11)</f>
        <v>2.2342000507954305</v>
      </c>
      <c r="C12">
        <f>AVERAGE(C2:C11)</f>
        <v>6.3232823283743143</v>
      </c>
      <c r="D12">
        <f>AVERAGE(D2:D11)</f>
        <v>4.0890822772788837</v>
      </c>
    </row>
    <row r="14" spans="1:4" x14ac:dyDescent="0.35">
      <c r="A14" t="s">
        <v>5</v>
      </c>
      <c r="B14">
        <v>2.2342000507954305</v>
      </c>
    </row>
    <row r="15" spans="1:4" x14ac:dyDescent="0.35">
      <c r="A15" t="s">
        <v>13</v>
      </c>
      <c r="B15">
        <v>6.3232823283743143</v>
      </c>
    </row>
    <row r="16" spans="1:4" x14ac:dyDescent="0.35">
      <c r="A16" t="s">
        <v>32</v>
      </c>
      <c r="B16">
        <v>4.0890822772788837</v>
      </c>
    </row>
    <row r="17" spans="1:2" x14ac:dyDescent="0.35">
      <c r="A17" t="s">
        <v>33</v>
      </c>
      <c r="B17">
        <f>_xlfn.STDEV.S(D2:D12)</f>
        <v>1.3837995856509273</v>
      </c>
    </row>
    <row r="18" spans="1:2" x14ac:dyDescent="0.35">
      <c r="A18" t="s">
        <v>34</v>
      </c>
      <c r="B18">
        <v>10</v>
      </c>
    </row>
    <row r="19" spans="1:2" x14ac:dyDescent="0.35">
      <c r="A19" t="s">
        <v>39</v>
      </c>
      <c r="B19">
        <f>_xlfn.STDEV.S(B2:B11)</f>
        <v>0.34280705007801082</v>
      </c>
    </row>
    <row r="20" spans="1:2" x14ac:dyDescent="0.35">
      <c r="A20" t="s">
        <v>40</v>
      </c>
      <c r="B20">
        <f>_xlfn.STDEV.S(C2:C11)</f>
        <v>1.6488433023647131</v>
      </c>
    </row>
    <row r="23" spans="1:2" x14ac:dyDescent="0.35">
      <c r="A23" t="s">
        <v>35</v>
      </c>
      <c r="B23">
        <f>_xlfn.T.TEST(B2:B11,C2:C11,2,1)</f>
        <v>9.6609493258360344E-6</v>
      </c>
    </row>
    <row r="24" spans="1:2" x14ac:dyDescent="0.35">
      <c r="A24" t="s">
        <v>36</v>
      </c>
      <c r="B24">
        <f>B16/(B17/SQRT(B18))</f>
        <v>9.34442651241792</v>
      </c>
    </row>
    <row r="25" spans="1:2" x14ac:dyDescent="0.35">
      <c r="A25" t="s">
        <v>37</v>
      </c>
      <c r="B25">
        <f>POWER(B24,2)</f>
        <v>87.318306845978938</v>
      </c>
    </row>
    <row r="26" spans="1:2" x14ac:dyDescent="0.35">
      <c r="A26" t="s">
        <v>38</v>
      </c>
      <c r="B26">
        <f>B25/(B25+9)</f>
        <v>0.90655981926268958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D3948-70C7-438C-80D7-3CE64C8B2145}">
  <dimension ref="A1:D36"/>
  <sheetViews>
    <sheetView tabSelected="1" topLeftCell="A32" workbookViewId="0">
      <selection activeCell="B25" sqref="B25"/>
    </sheetView>
  </sheetViews>
  <sheetFormatPr defaultRowHeight="14.5" x14ac:dyDescent="0.35"/>
  <sheetData>
    <row r="1" spans="1:4" x14ac:dyDescent="0.35">
      <c r="A1" t="s">
        <v>41</v>
      </c>
      <c r="B1" t="s">
        <v>44</v>
      </c>
      <c r="C1" t="s">
        <v>45</v>
      </c>
      <c r="D1" t="s">
        <v>46</v>
      </c>
    </row>
    <row r="2" spans="1:4" x14ac:dyDescent="0.35">
      <c r="A2" t="s">
        <v>42</v>
      </c>
      <c r="B2">
        <v>2.2342000507954305</v>
      </c>
      <c r="C2">
        <v>0.34280705007801082</v>
      </c>
      <c r="D2">
        <f>C2/SQRT(10)</f>
        <v>0.10840510762099165</v>
      </c>
    </row>
    <row r="3" spans="1:4" x14ac:dyDescent="0.35">
      <c r="A3" t="s">
        <v>43</v>
      </c>
      <c r="B3">
        <v>6.3232823283743143</v>
      </c>
      <c r="C3" s="1">
        <v>1.6488433023647131</v>
      </c>
      <c r="D3">
        <f>C3/SQRT(10)</f>
        <v>0.52141003401861885</v>
      </c>
    </row>
    <row r="25" spans="1:3" x14ac:dyDescent="0.35">
      <c r="A25" t="s">
        <v>17</v>
      </c>
      <c r="B25" t="s">
        <v>18</v>
      </c>
      <c r="C25" t="s">
        <v>19</v>
      </c>
    </row>
    <row r="26" spans="1:3" x14ac:dyDescent="0.35">
      <c r="A26" t="s">
        <v>21</v>
      </c>
      <c r="B26">
        <v>2.449434932</v>
      </c>
      <c r="C26">
        <v>7.4518092170000001</v>
      </c>
    </row>
    <row r="27" spans="1:3" x14ac:dyDescent="0.35">
      <c r="A27" t="s">
        <v>22</v>
      </c>
      <c r="B27">
        <v>1.70821383</v>
      </c>
      <c r="C27">
        <v>4.6606468100000003</v>
      </c>
    </row>
    <row r="28" spans="1:3" x14ac:dyDescent="0.35">
      <c r="A28" t="s">
        <v>23</v>
      </c>
      <c r="B28">
        <v>2.5846172630000002</v>
      </c>
      <c r="C28">
        <v>10.28795446</v>
      </c>
    </row>
    <row r="29" spans="1:3" x14ac:dyDescent="0.35">
      <c r="A29" t="s">
        <v>24</v>
      </c>
      <c r="B29">
        <v>2.3087132650194655</v>
      </c>
      <c r="C29">
        <v>5.7845124059000561</v>
      </c>
    </row>
    <row r="30" spans="1:3" x14ac:dyDescent="0.35">
      <c r="A30" t="s">
        <v>25</v>
      </c>
      <c r="B30">
        <v>1.7875232149730398</v>
      </c>
      <c r="C30">
        <v>5.4112703349906859</v>
      </c>
    </row>
    <row r="31" spans="1:3" x14ac:dyDescent="0.35">
      <c r="A31" t="s">
        <v>26</v>
      </c>
      <c r="B31">
        <v>1.813928389</v>
      </c>
      <c r="C31">
        <v>5.9605517389999996</v>
      </c>
    </row>
    <row r="32" spans="1:3" x14ac:dyDescent="0.35">
      <c r="A32" t="s">
        <v>27</v>
      </c>
      <c r="B32">
        <v>2.4703166789718325</v>
      </c>
      <c r="C32">
        <v>6.2499117055752516</v>
      </c>
    </row>
    <row r="33" spans="1:3" x14ac:dyDescent="0.35">
      <c r="A33" t="s">
        <v>28</v>
      </c>
      <c r="B33">
        <v>2.268616495002056</v>
      </c>
      <c r="C33">
        <v>5.4787039882777346</v>
      </c>
    </row>
    <row r="34" spans="1:3" x14ac:dyDescent="0.35">
      <c r="A34" t="s">
        <v>30</v>
      </c>
      <c r="B34">
        <v>2.3065608499999999</v>
      </c>
      <c r="C34">
        <v>4.8568331130000004</v>
      </c>
    </row>
    <row r="35" spans="1:3" x14ac:dyDescent="0.35">
      <c r="A35" t="s">
        <v>29</v>
      </c>
      <c r="B35">
        <v>2.6440755899879096</v>
      </c>
      <c r="C35">
        <v>7.0906295099994079</v>
      </c>
    </row>
    <row r="36" spans="1:3" x14ac:dyDescent="0.35">
      <c r="A36" t="s">
        <v>31</v>
      </c>
      <c r="B36">
        <f>AVERAGE(B26:B35)</f>
        <v>2.2342000507954305</v>
      </c>
      <c r="C36">
        <f>AVERAGE(C26:C35)</f>
        <v>6.3232823283743143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B0B1-21AC-4115-BCF1-D178858E1A09}">
  <dimension ref="A2:C53"/>
  <sheetViews>
    <sheetView topLeftCell="A3" zoomScale="74" zoomScaleNormal="70" workbookViewId="0">
      <selection activeCell="I53" sqref="I53"/>
    </sheetView>
  </sheetViews>
  <sheetFormatPr defaultRowHeight="14.5" x14ac:dyDescent="0.35"/>
  <sheetData>
    <row r="2" spans="1:3" x14ac:dyDescent="0.35">
      <c r="A2" t="s">
        <v>0</v>
      </c>
    </row>
    <row r="4" spans="1:3" x14ac:dyDescent="0.35">
      <c r="A4" t="s">
        <v>1</v>
      </c>
      <c r="C4">
        <v>2.449434932</v>
      </c>
    </row>
    <row r="5" spans="1:3" x14ac:dyDescent="0.35">
      <c r="A5" t="s">
        <v>2</v>
      </c>
      <c r="C5">
        <v>7.4518092170000001</v>
      </c>
    </row>
    <row r="6" spans="1:3" x14ac:dyDescent="0.35">
      <c r="A6" t="s">
        <v>3</v>
      </c>
      <c r="C6">
        <v>5.0023742850000001</v>
      </c>
    </row>
    <row r="8" spans="1:3" x14ac:dyDescent="0.35">
      <c r="A8" t="s">
        <v>4</v>
      </c>
    </row>
    <row r="10" spans="1:3" x14ac:dyDescent="0.35">
      <c r="A10" t="s">
        <v>5</v>
      </c>
      <c r="C10">
        <v>1.70821383</v>
      </c>
    </row>
    <row r="11" spans="1:3" x14ac:dyDescent="0.35">
      <c r="A11" t="s">
        <v>6</v>
      </c>
      <c r="C11">
        <v>4.6606468100000003</v>
      </c>
    </row>
    <row r="12" spans="1:3" x14ac:dyDescent="0.35">
      <c r="A12" t="s">
        <v>7</v>
      </c>
      <c r="C12">
        <v>2.9524329800000002</v>
      </c>
    </row>
    <row r="14" spans="1:3" x14ac:dyDescent="0.35">
      <c r="A14" t="s">
        <v>8</v>
      </c>
    </row>
    <row r="15" spans="1:3" x14ac:dyDescent="0.35">
      <c r="A15" t="s">
        <v>5</v>
      </c>
      <c r="C15">
        <v>2.5846172630000002</v>
      </c>
    </row>
    <row r="16" spans="1:3" x14ac:dyDescent="0.35">
      <c r="A16" t="s">
        <v>6</v>
      </c>
      <c r="C16">
        <v>10.28795446</v>
      </c>
    </row>
    <row r="17" spans="1:3" x14ac:dyDescent="0.35">
      <c r="A17" t="s">
        <v>7</v>
      </c>
      <c r="C17">
        <v>7.7033371940000004</v>
      </c>
    </row>
    <row r="19" spans="1:3" x14ac:dyDescent="0.35">
      <c r="A19" t="s">
        <v>9</v>
      </c>
    </row>
    <row r="20" spans="1:3" x14ac:dyDescent="0.35">
      <c r="A20" t="s">
        <v>5</v>
      </c>
      <c r="C20">
        <v>2.3087132650194655</v>
      </c>
    </row>
    <row r="21" spans="1:3" x14ac:dyDescent="0.35">
      <c r="A21" t="s">
        <v>6</v>
      </c>
      <c r="C21">
        <v>5.7845124059000561</v>
      </c>
    </row>
    <row r="22" spans="1:3" x14ac:dyDescent="0.35">
      <c r="A22" t="s">
        <v>7</v>
      </c>
      <c r="C22">
        <v>3.4757991408805906</v>
      </c>
    </row>
    <row r="24" spans="1:3" x14ac:dyDescent="0.35">
      <c r="A24" t="s">
        <v>10</v>
      </c>
    </row>
    <row r="25" spans="1:3" x14ac:dyDescent="0.35">
      <c r="A25" t="s">
        <v>5</v>
      </c>
      <c r="C25">
        <v>1.7875232149730398</v>
      </c>
    </row>
    <row r="26" spans="1:3" x14ac:dyDescent="0.35">
      <c r="A26" t="s">
        <v>6</v>
      </c>
      <c r="C26">
        <v>5.4112703349906859</v>
      </c>
    </row>
    <row r="27" spans="1:3" x14ac:dyDescent="0.35">
      <c r="A27" t="s">
        <v>7</v>
      </c>
      <c r="C27">
        <v>3.6237471200176463</v>
      </c>
    </row>
    <row r="29" spans="1:3" x14ac:dyDescent="0.35">
      <c r="A29" t="s">
        <v>11</v>
      </c>
    </row>
    <row r="30" spans="1:3" x14ac:dyDescent="0.35">
      <c r="A30" t="s">
        <v>5</v>
      </c>
      <c r="C30">
        <v>1.813928389</v>
      </c>
    </row>
    <row r="31" spans="1:3" x14ac:dyDescent="0.35">
      <c r="A31" t="s">
        <v>6</v>
      </c>
      <c r="C31">
        <v>5.9605517389999996</v>
      </c>
    </row>
    <row r="32" spans="1:3" x14ac:dyDescent="0.35">
      <c r="A32" t="s">
        <v>7</v>
      </c>
      <c r="C32">
        <v>4.1466233499999996</v>
      </c>
    </row>
    <row r="34" spans="1:3" x14ac:dyDescent="0.35">
      <c r="A34" t="s">
        <v>12</v>
      </c>
    </row>
    <row r="35" spans="1:3" x14ac:dyDescent="0.35">
      <c r="A35" t="s">
        <v>5</v>
      </c>
      <c r="C35">
        <v>2.4703166789718325</v>
      </c>
    </row>
    <row r="36" spans="1:3" x14ac:dyDescent="0.35">
      <c r="A36" t="s">
        <v>6</v>
      </c>
      <c r="C36">
        <v>6.2499117055752516</v>
      </c>
    </row>
    <row r="37" spans="1:3" x14ac:dyDescent="0.35">
      <c r="A37" t="s">
        <v>7</v>
      </c>
      <c r="C37">
        <v>3.7795950266034191</v>
      </c>
    </row>
    <row r="40" spans="1:3" x14ac:dyDescent="0.35">
      <c r="A40" t="s">
        <v>14</v>
      </c>
    </row>
    <row r="41" spans="1:3" x14ac:dyDescent="0.35">
      <c r="A41" t="s">
        <v>5</v>
      </c>
      <c r="C41">
        <v>2.268616495002056</v>
      </c>
    </row>
    <row r="42" spans="1:3" x14ac:dyDescent="0.35">
      <c r="A42" t="s">
        <v>13</v>
      </c>
      <c r="C42">
        <v>5.4787039882777346</v>
      </c>
    </row>
    <row r="43" spans="1:3" x14ac:dyDescent="0.35">
      <c r="A43" t="s">
        <v>3</v>
      </c>
      <c r="B43">
        <v>3.2100874932756787</v>
      </c>
    </row>
    <row r="45" spans="1:3" x14ac:dyDescent="0.35">
      <c r="A45" t="s">
        <v>15</v>
      </c>
    </row>
    <row r="46" spans="1:3" x14ac:dyDescent="0.35">
      <c r="A46" t="s">
        <v>5</v>
      </c>
      <c r="C46">
        <v>2.3065608499999999</v>
      </c>
    </row>
    <row r="47" spans="1:3" x14ac:dyDescent="0.35">
      <c r="A47" t="s">
        <v>6</v>
      </c>
      <c r="C47">
        <v>4.8568331130000004</v>
      </c>
    </row>
    <row r="48" spans="1:3" x14ac:dyDescent="0.35">
      <c r="A48" t="s">
        <v>7</v>
      </c>
      <c r="C48">
        <v>2.5502722630000001</v>
      </c>
    </row>
    <row r="50" spans="1:3" x14ac:dyDescent="0.35">
      <c r="A50" t="s">
        <v>16</v>
      </c>
    </row>
    <row r="51" spans="1:3" x14ac:dyDescent="0.35">
      <c r="A51" t="s">
        <v>5</v>
      </c>
      <c r="C51">
        <v>2.6440755899879096</v>
      </c>
    </row>
    <row r="52" spans="1:3" x14ac:dyDescent="0.35">
      <c r="A52" t="s">
        <v>6</v>
      </c>
      <c r="C52">
        <v>7.0906295099994079</v>
      </c>
    </row>
    <row r="53" spans="1:3" x14ac:dyDescent="0.35">
      <c r="A53" t="s">
        <v>7</v>
      </c>
      <c r="C53">
        <v>4.4465539200114979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anova</vt:lpstr>
      <vt:lpstr>graphs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Varma</dc:creator>
  <cp:lastModifiedBy>Diya Varma</cp:lastModifiedBy>
  <dcterms:created xsi:type="dcterms:W3CDTF">2025-11-20T18:29:26Z</dcterms:created>
  <dcterms:modified xsi:type="dcterms:W3CDTF">2025-11-22T18:14:38Z</dcterms:modified>
</cp:coreProperties>
</file>